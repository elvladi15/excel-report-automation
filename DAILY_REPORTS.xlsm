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2A5F98C7-2A40-4202-A81A-FCBB5C974760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ROS" sheetId="3" r:id="rId1"/>
  </sheets>
  <functionGroups builtInGroupCount="19"/>
  <externalReferences>
    <externalReference r:id="rId2"/>
  </externalReferences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3" l="1"/>
  <c r="B4" i="3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<sst xmlns="http://schemas.openxmlformats.org/spreadsheetml/2006/main" count="67" uniqueCount="42">
  <si>
    <t>START_PROCESS_DATE</t>
  </si>
  <si>
    <t>END_PROCESS_DATE</t>
  </si>
  <si>
    <t>NOMBRE</t>
  </si>
  <si>
    <t>VALOR</t>
  </si>
  <si>
    <t>ARCHIVO</t>
  </si>
  <si>
    <t>CORREO</t>
  </si>
  <si>
    <t>ARCHIVOS</t>
  </si>
  <si>
    <t>CORREOS</t>
  </si>
  <si>
    <t>Directorio base reportes</t>
  </si>
  <si>
    <t>CONVERSACION</t>
  </si>
  <si>
    <t>REPORTES</t>
  </si>
  <si>
    <t>PARAMETROS</t>
  </si>
  <si>
    <t>Reporte a generar</t>
  </si>
  <si>
    <t>UN ARCHIVO POR RANGO?</t>
  </si>
  <si>
    <t>Formato de fechas</t>
  </si>
  <si>
    <t>yyyy-MM-dd</t>
  </si>
  <si>
    <t>Generar logs</t>
  </si>
  <si>
    <t>Directorio archivos de logs</t>
  </si>
  <si>
    <t>C:\Users\vfrancisco\Desktop\REPORTES DIARIOS\logs de reportes diarios</t>
  </si>
  <si>
    <t>Carpeta de Outlook</t>
  </si>
  <si>
    <t>REPORTES DIARIOS</t>
  </si>
  <si>
    <t>Todos</t>
  </si>
  <si>
    <t>SI</t>
  </si>
  <si>
    <t>PROPINA_SEGURIDAD_FISICA</t>
  </si>
  <si>
    <t>PROPINA</t>
  </si>
  <si>
    <t>NO</t>
  </si>
  <si>
    <t>SUPERATE</t>
  </si>
  <si>
    <t>Reporte Liquidacion x Comercios Superate</t>
  </si>
  <si>
    <t>TU_PANA</t>
  </si>
  <si>
    <t>REPORTE DIARIO TRANSACCIONES TU PANA 2025</t>
  </si>
  <si>
    <t>DLOCAL</t>
  </si>
  <si>
    <t>REPORTE DLOCAL</t>
  </si>
  <si>
    <t>PAGOS_COMISIONES_DCC</t>
  </si>
  <si>
    <t>REPORTE PAGOS POSPUESTOS y COMISIONES DCC  2025</t>
  </si>
  <si>
    <t>TEST</t>
  </si>
  <si>
    <t>Test Email from Excel VBA</t>
  </si>
  <si>
    <t>Reporte Propina Seguridad Física</t>
  </si>
  <si>
    <t>Reporte Liquidacion x Comercios SUPERATE</t>
  </si>
  <si>
    <t>Reporte Diario Transacciones TU PANA</t>
  </si>
  <si>
    <t>PAGOS COMISIONES DCC</t>
  </si>
  <si>
    <t>PAGOS COMISIONES DCC_TEST</t>
  </si>
  <si>
    <t>C:\Users\vfrancisco\Desktop\REPORTES DIARIOS\Archivos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</si>
</sst>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h:mm:ss"/>
    <numFmt numFmtId="166" formatCode="dd\-mm\-yyyy"/>
  </numFmts>
  <fonts count="4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75" name="btnSendAllDraftsWithAttemp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78" name="btnRefreshAll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9" name="btnCreateMailFile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80" name="btnCreateDraft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81" name="btnSendAllDraftsWithAttemp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82" name="btnScheduleMailSending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francisco\Desktop\REPORTES%20DIARIOS\excel-report-automation\REPORTES%20DIARIOS.xlsm" TargetMode="External"/><Relationship Id="rId1" Type="http://schemas.openxmlformats.org/officeDocument/2006/relationships/externalLinkPath" Target="REPORTES%20DIAR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OS"/>
      <sheetName val="PROPINA_SEGURIDAD_FISICA"/>
      <sheetName val="TU_PANA"/>
      <sheetName val="SUPERATE"/>
      <sheetName val="DLOCAL"/>
      <sheetName val="PAGOS_COMISIONES_DCC"/>
      <sheetName val="REPORTES DIARIOS"/>
    </sheetNames>
    <definedNames>
      <definedName name="Manual_CreateDrafts"/>
      <definedName name="Manual_CreateMailFiles"/>
      <definedName name="Manual_SendAllDraft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C7A477-61F8-42F8-B341-037C9883E415}" name="PARAMETROS" displayName="PARAMETROS" ref="A2:B10" totalsRowShown="0" headerRowDxfId="25" dataDxfId="23" headerRowBorderDxfId="24" tableBorderDxfId="22" totalsRowBorderDxfId="21">
  <autoFilter ref="A2:B10" xr:uid="{70C7A477-61F8-42F8-B341-037C9883E415}"/>
  <tableColumns count="2">
    <tableColumn id="1" xr3:uid="{A522A714-EB9E-402A-A4EB-171D50AB733E}" name="NOMBRE" dataDxfId="20"/>
    <tableColumn id="2" xr3:uid="{ABBCAFCA-2589-4613-9A6E-BB9A98D9962A}" name="VALOR" dataDxfId="19">
      <calculatedColumnFormula>TODAY()-1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2A7BE9-29DA-4719-A926-70507860492B}" name="REPORTES" displayName="REPORTES" ref="A28:B34" totalsRowShown="0" headerRowDxfId="18" dataDxfId="16" headerRowBorderDxfId="17" tableBorderDxfId="15" totalsRowBorderDxfId="14">
  <autoFilter ref="A28:B34" xr:uid="{5A2A7BE9-29DA-4719-A926-70507860492B}"/>
  <tableColumns count="2">
    <tableColumn id="1" xr3:uid="{CA0D3754-3C6E-44FB-80F1-112F3781BDA4}" name="NOMBRE" dataDxfId="13"/>
    <tableColumn id="4" xr3:uid="{639A61C6-75B2-4802-A328-9D01D33203B1}" name="ARCHIVO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AEAD3-9884-4874-85F8-52771F9A3C41}" name="ARCHIVOS" displayName="ARCHIVOS" ref="A20:B26" totalsRowShown="0" headerRowDxfId="11" dataDxfId="9" headerRowBorderDxfId="10" tableBorderDxfId="8" totalsRowBorderDxfId="7">
  <autoFilter ref="A20:B26" xr:uid="{AA1AEAD3-9884-4874-85F8-52771F9A3C41}"/>
  <tableColumns count="2">
    <tableColumn id="1" xr3:uid="{57F37BE1-5C8D-42A2-AED3-C12F23E6E3FA}" name="NOMBRE" dataDxfId="6"/>
    <tableColumn id="2" xr3:uid="{5CBE7941-70F1-4EA5-BA2A-E9B8058D8937}" name="CORREO" dataDxfId="5">
      <calculatedColumnFormula>A13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0131C1-C97F-40F8-A264-47F4139FD7B6}" name="CORREOS" displayName="CORREOS" ref="A12:C18" totalsRowShown="0" headerRowDxfId="4" dataDxfId="3">
  <autoFilter ref="A12:C18" xr:uid="{C30131C1-C97F-40F8-A264-47F4139FD7B6}"/>
  <tableColumns count="3">
    <tableColumn id="1" xr3:uid="{0BD62D0E-B4C9-4C86-B8D5-C051103EDA0C}" name="NOMBRE" dataDxfId="2"/>
    <tableColumn id="2" xr3:uid="{5951F8E9-9BBC-4ADC-B1B2-F80F973A4D96}" name="CONVERSACION" dataDxfId="1"/>
    <tableColumn id="3" xr3:uid="{77125737-BFBC-4BBB-9F6E-A8274AFC5D52}" name="UN ARCHIVO POR RANGO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ROS"/>
  <dimension ref="A1:D34"/>
  <sheetViews>
    <sheetView tabSelected="1" zoomScaleNormal="100" workbookViewId="0">
      <selection activeCell="D10" sqref="D10"/>
    </sheetView>
  </sheetViews>
  <sheetFormatPr defaultColWidth="9.140625" defaultRowHeight="21" x14ac:dyDescent="0.25"/>
  <cols>
    <col min="1" max="1" width="55.85546875" style="3" bestFit="1" customWidth="1"/>
    <col min="2" max="2" width="127.28515625" style="3" bestFit="1" customWidth="1"/>
    <col min="3" max="3" width="40.140625" style="3" bestFit="1" customWidth="1"/>
    <col min="4" max="4" width="28.140625" style="3" bestFit="1" customWidth="1"/>
    <col min="5" max="16384" width="9.140625" style="3"/>
  </cols>
  <sheetData>
    <row r="1" spans="1:4" ht="53.25" x14ac:dyDescent="0.25">
      <c r="A1" s="20" t="s">
        <v>11</v>
      </c>
      <c r="B1" s="20"/>
    </row>
    <row r="2" spans="1:4" x14ac:dyDescent="0.25">
      <c r="A2" s="1" t="s">
        <v>2</v>
      </c>
      <c r="B2" s="2" t="s">
        <v>3</v>
      </c>
    </row>
    <row r="3" spans="1:4" x14ac:dyDescent="0.25">
      <c r="A3" s="4" t="s">
        <v>0</v>
      </c>
      <c r="B3" s="12">
        <f ca="1">TODAY()-IF(TEXT(TODAY(),"dddd")="Monday", 3,1)</f>
        <v>46007</v>
      </c>
      <c r="D3" s="10"/>
    </row>
    <row r="4" spans="1:4" x14ac:dyDescent="0.25">
      <c r="A4" s="5" t="s">
        <v>1</v>
      </c>
      <c r="B4" s="12">
        <f ca="1">TODAY() - 1</f>
        <v>46007</v>
      </c>
      <c r="D4" s="10"/>
    </row>
    <row r="5" spans="1:4" x14ac:dyDescent="0.25">
      <c r="A5" s="5" t="s">
        <v>8</v>
      </c>
      <c r="B5" s="11" t="s">
        <v>41</v>
      </c>
    </row>
    <row r="6" spans="1:4" x14ac:dyDescent="0.25">
      <c r="A6" s="5" t="s">
        <v>17</v>
      </c>
      <c r="B6" s="11" t="s">
        <v>18</v>
      </c>
    </row>
    <row r="7" spans="1:4" x14ac:dyDescent="0.25">
      <c r="A7" s="4" t="s">
        <v>19</v>
      </c>
      <c r="B7" s="11" t="s">
        <v>20</v>
      </c>
    </row>
    <row r="8" spans="1:4" x14ac:dyDescent="0.25">
      <c r="A8" s="5" t="s">
        <v>12</v>
      </c>
      <c r="B8" s="13" t="s">
        <v>21</v>
      </c>
    </row>
    <row r="9" spans="1:4" x14ac:dyDescent="0.25">
      <c r="A9" s="5" t="s">
        <v>14</v>
      </c>
      <c r="B9" s="13" t="s">
        <v>15</v>
      </c>
    </row>
    <row r="10" spans="1:4" x14ac:dyDescent="0.25">
      <c r="A10" s="5" t="s">
        <v>16</v>
      </c>
      <c r="B10" s="11"/>
    </row>
    <row r="11" spans="1:4" ht="53.25" x14ac:dyDescent="0.25">
      <c r="A11" s="20" t="s">
        <v>7</v>
      </c>
      <c r="B11" s="20"/>
      <c r="C11" s="20"/>
    </row>
    <row r="12" spans="1:4" x14ac:dyDescent="0.25">
      <c r="A12" s="7" t="s">
        <v>2</v>
      </c>
      <c r="B12" s="8" t="s">
        <v>9</v>
      </c>
      <c r="C12" s="9" t="s">
        <v>13</v>
      </c>
    </row>
    <row r="13" spans="1:4" x14ac:dyDescent="0.25">
      <c r="A13" s="8" t="s">
        <v>23</v>
      </c>
      <c r="B13" s="8" t="s">
        <v>24</v>
      </c>
      <c r="C13" s="11" t="s">
        <v>25</v>
      </c>
    </row>
    <row r="14" spans="1:4" x14ac:dyDescent="0.25">
      <c r="A14" s="8" t="s">
        <v>26</v>
      </c>
      <c r="B14" s="8" t="s">
        <v>27</v>
      </c>
      <c r="C14" s="11" t="s">
        <v>22</v>
      </c>
    </row>
    <row r="15" spans="1:4" x14ac:dyDescent="0.25">
      <c r="A15" s="8" t="s">
        <v>28</v>
      </c>
      <c r="B15" s="8" t="s">
        <v>29</v>
      </c>
      <c r="C15" s="11" t="s">
        <v>25</v>
      </c>
    </row>
    <row r="16" spans="1:4" x14ac:dyDescent="0.25">
      <c r="A16" s="8" t="s">
        <v>30</v>
      </c>
      <c r="B16" s="8" t="s">
        <v>31</v>
      </c>
      <c r="C16" s="11" t="s">
        <v>25</v>
      </c>
    </row>
    <row r="17" spans="1:3" x14ac:dyDescent="0.25">
      <c r="A17" s="14" t="s">
        <v>32</v>
      </c>
      <c r="B17" s="8" t="s">
        <v>33</v>
      </c>
      <c r="C17" s="11" t="s">
        <v>25</v>
      </c>
    </row>
    <row r="18" spans="1:3" x14ac:dyDescent="0.25">
      <c r="A18" s="15" t="s">
        <v>34</v>
      </c>
      <c r="B18" s="8" t="s">
        <v>35</v>
      </c>
      <c r="C18" s="16" t="s">
        <v>25</v>
      </c>
    </row>
    <row r="19" spans="1:3" ht="53.25" x14ac:dyDescent="0.25">
      <c r="A19" s="20" t="s">
        <v>6</v>
      </c>
      <c r="B19" s="21"/>
    </row>
    <row r="20" spans="1:3" x14ac:dyDescent="0.25">
      <c r="A20" s="1" t="s">
        <v>2</v>
      </c>
      <c r="B20" s="7" t="s">
        <v>5</v>
      </c>
    </row>
    <row r="21" spans="1:3" x14ac:dyDescent="0.25">
      <c r="A21" s="6" t="s">
        <v>36</v>
      </c>
      <c r="B21" s="8" t="s">
        <v>23</v>
      </c>
    </row>
    <row r="22" spans="1:3" x14ac:dyDescent="0.25">
      <c r="A22" s="6" t="s">
        <v>37</v>
      </c>
      <c r="B22" s="8" t="s">
        <v>26</v>
      </c>
    </row>
    <row r="23" spans="1:3" x14ac:dyDescent="0.25">
      <c r="A23" s="6" t="s">
        <v>38</v>
      </c>
      <c r="B23" s="8" t="s">
        <v>28</v>
      </c>
    </row>
    <row r="24" spans="1:3" x14ac:dyDescent="0.25">
      <c r="A24" s="6" t="s">
        <v>31</v>
      </c>
      <c r="B24" s="8" t="s">
        <v>30</v>
      </c>
    </row>
    <row r="25" spans="1:3" x14ac:dyDescent="0.25">
      <c r="A25" s="14" t="s">
        <v>39</v>
      </c>
      <c r="B25" s="17" t="s">
        <v>32</v>
      </c>
    </row>
    <row r="26" spans="1:3" x14ac:dyDescent="0.25">
      <c r="A26" s="14" t="s">
        <v>40</v>
      </c>
      <c r="B26" s="8" t="str">
        <f>A18</f>
        <v>TEST</v>
      </c>
    </row>
    <row r="27" spans="1:3" ht="53.25" x14ac:dyDescent="0.25">
      <c r="A27" s="19" t="s">
        <v>10</v>
      </c>
      <c r="B27" s="19"/>
    </row>
    <row r="28" spans="1:3" x14ac:dyDescent="0.25">
      <c r="A28" s="1" t="s">
        <v>2</v>
      </c>
      <c r="B28" s="1" t="s">
        <v>4</v>
      </c>
    </row>
    <row r="29" spans="1:3" x14ac:dyDescent="0.25">
      <c r="A29" s="6" t="s">
        <v>23</v>
      </c>
      <c r="B29" s="8" t="s">
        <v>36</v>
      </c>
    </row>
    <row r="30" spans="1:3" x14ac:dyDescent="0.25">
      <c r="A30" s="6" t="s">
        <v>26</v>
      </c>
      <c r="B30" s="8" t="s">
        <v>37</v>
      </c>
    </row>
    <row r="31" spans="1:3" x14ac:dyDescent="0.25">
      <c r="A31" s="6" t="s">
        <v>28</v>
      </c>
      <c r="B31" s="8" t="s">
        <v>38</v>
      </c>
    </row>
    <row r="32" spans="1:3" x14ac:dyDescent="0.25">
      <c r="A32" s="6" t="s">
        <v>30</v>
      </c>
      <c r="B32" s="8" t="s">
        <v>31</v>
      </c>
    </row>
    <row r="33" spans="1:2" x14ac:dyDescent="0.25">
      <c r="A33" s="14" t="s">
        <v>32</v>
      </c>
      <c r="B33" s="8" t="s">
        <v>39</v>
      </c>
    </row>
    <row r="34" spans="1:2" x14ac:dyDescent="0.25">
      <c r="A34" s="14" t="s">
        <v>32</v>
      </c>
      <c r="B34" s="18" t="s">
        <v>40</v>
      </c>
    </row>
  </sheetData>
  <mergeCells count="4">
    <mergeCell ref="A27:B27"/>
    <mergeCell ref="A1:B1"/>
    <mergeCell ref="A11:C11"/>
    <mergeCell ref="A19:B19"/>
  </mergeCells>
  <dataValidations count="5">
    <dataValidation type="list" allowBlank="1" showInputMessage="1" showErrorMessage="1" sqref="B10 C13:C18" xr:uid="{0ABBB0D5-A75F-409F-A563-79FD8CBD78A9}">
      <formula1>"SI,NO"</formula1>
    </dataValidation>
    <dataValidation type="list" allowBlank="1" showInputMessage="1" showErrorMessage="1" sqref="A8" xr:uid="{5B9D89B2-33B0-4AB9-A7B8-FB57596068ED}">
      <formula1>"Todos,START_PROCESS_DATE,END_PROCESS_DATE,CURRENT_PROCESS_DATE,Directorio base reportes,Ruta archivo de errores,Folder de Outlook,Enviar correo?,Reporte a generar"</formula1>
    </dataValidation>
    <dataValidation type="list" allowBlank="1" showInputMessage="1" showErrorMessage="1" sqref="B29:B34" xr:uid="{FF4192F1-9368-4CD9-8A92-720D4B2DA0FE}">
      <formula1>INDIRECT("ARCHIVOS[NOMBRE]")</formula1>
    </dataValidation>
    <dataValidation type="list" allowBlank="1" showInputMessage="1" showErrorMessage="1" sqref="B21:B26" xr:uid="{06214927-429F-452C-9FD8-EF30EA6160E0}">
      <formula1>INDIRECT("CORREOS[NOMBRE]")</formula1>
    </dataValidation>
    <dataValidation type="list" allowBlank="1" showInputMessage="1" showErrorMessage="1" sqref="B8" xr:uid="{BE0D1CDF-E430-47BC-8305-640CE5379CE1}">
      <formula1>"Todos,PROPINA_SEGURIDAD_FISICA,SUPERATE,TU_PANA,DLOCAL,PAGOS_COMISIONES_DCC,TEST"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RefreshAll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WithAttempt">
              <controlPr defaultSize="0" print="0" autoFill="0" autoPict="0" macro="[0]!SendAllDraftsWithAttempt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Manual_ScheduleMailSending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Manual_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Manual_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Manual_SendAllDrafts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Manual_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2025-12-17T22:12:05Z</dcterms:modified>
</cp:coreProperties>
</file>