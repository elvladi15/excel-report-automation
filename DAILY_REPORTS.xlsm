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RTES DIARIOS\excel-report-automation\"/>
    </mc:Choice>
  </mc:AlternateContent>
  <xr:revisionPtr revIDLastSave="0" documentId="13_ncr:1_{F485AE10-7376-41BE-8A24-7B39C6D0CB9F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RO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ROS" description="Connection to the 'PARAMETROS' query in the workbook." type="5" refreshedVersion="8" saveData="1">
    <dbPr connection="Provider=Microsoft.Mashup.OleDb.1;Data Source=$Workbook$;Location=PARAMETROS;Extended Properties=&quot;&quot;" command="SELECT * FROM [PARAMETRO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<sst xmlns="http://schemas.openxmlformats.org/spreadsheetml/2006/main" count="21" uniqueCount="18">
  <si>
    <t>START_PROCESS_DATE</t>
  </si>
  <si>
    <t>END_PROCESS_DATE</t>
  </si>
  <si>
    <t>NOMBRE</t>
  </si>
  <si>
    <t>VALOR</t>
  </si>
  <si>
    <t>ARCHIVO</t>
  </si>
  <si>
    <t>CORREO</t>
  </si>
  <si>
    <t>ARCHIVOS</t>
  </si>
  <si>
    <t>CORREOS</t>
  </si>
  <si>
    <t>Directorio base reportes</t>
  </si>
  <si>
    <t>CONVERSACION</t>
  </si>
  <si>
    <t>REPORTES</t>
  </si>
  <si>
    <t>PARAMETROS</t>
  </si>
  <si>
    <t>Reporte a generar</t>
  </si>
  <si>
    <t>UN ARCHIVO POR RANGO?</t>
  </si>
  <si>
    <t>Formato de fechas</t>
  </si>
  <si>
    <t>Generar logs</t>
  </si>
  <si>
    <t>Directorio archivos de logs</t>
  </si>
  <si>
    <t>Carpeta de Outlook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</si>
</sst>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\-dd\ hh:mm:ss"/>
    <numFmt numFmtId="166" formatCode="dd\-mm\-yyyy"/>
  </numFmts>
  <fonts count="4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yyyy\-mm\-dd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75" name="btnSendAllDraftsWithAttempt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390525</xdr:rowOff>
        </xdr:from>
        <xdr:to>
          <xdr:col>2</xdr:col>
          <xdr:colOff>2419350</xdr:colOff>
          <xdr:row>1</xdr:row>
          <xdr:rowOff>152400</xdr:rowOff>
        </xdr:to>
        <xdr:sp macro="" textlink="">
          <xdr:nvSpPr>
            <xdr:cNvPr id="2078" name="btnRefreshAll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REFRESCAR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247650</xdr:rowOff>
        </xdr:from>
        <xdr:to>
          <xdr:col>2</xdr:col>
          <xdr:colOff>2428875</xdr:colOff>
          <xdr:row>3</xdr:row>
          <xdr:rowOff>152400</xdr:rowOff>
        </xdr:to>
        <xdr:sp macro="" textlink="">
          <xdr:nvSpPr>
            <xdr:cNvPr id="2079" name="btnCreateMailFiles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66675</xdr:rowOff>
        </xdr:from>
        <xdr:to>
          <xdr:col>2</xdr:col>
          <xdr:colOff>2428875</xdr:colOff>
          <xdr:row>5</xdr:row>
          <xdr:rowOff>238125</xdr:rowOff>
        </xdr:to>
        <xdr:sp macro="" textlink="">
          <xdr:nvSpPr>
            <xdr:cNvPr id="2080" name="btnCreateDrafts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6</xdr:row>
          <xdr:rowOff>209550</xdr:rowOff>
        </xdr:from>
        <xdr:to>
          <xdr:col>2</xdr:col>
          <xdr:colOff>2428875</xdr:colOff>
          <xdr:row>8</xdr:row>
          <xdr:rowOff>85725</xdr:rowOff>
        </xdr:to>
        <xdr:sp macro="" textlink="">
          <xdr:nvSpPr>
            <xdr:cNvPr id="2081" name="btnSendAllDraftsWithAttemp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3</xdr:row>
          <xdr:rowOff>209550</xdr:rowOff>
        </xdr:from>
        <xdr:to>
          <xdr:col>4</xdr:col>
          <xdr:colOff>552450</xdr:colOff>
          <xdr:row>5</xdr:row>
          <xdr:rowOff>114300</xdr:rowOff>
        </xdr:to>
        <xdr:sp macro="" textlink="">
          <xdr:nvSpPr>
            <xdr:cNvPr id="2082" name="btnScheduleMailSending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ENVIO AUTOMATICO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C7A477-61F8-42F8-B341-037C9883E415}" name="PARAMETROS" displayName="PARAMETROS" ref="A2:B10" totalsRowShown="0" headerRowDxfId="25" dataDxfId="23" headerRowBorderDxfId="24" tableBorderDxfId="22" totalsRowBorderDxfId="21">
  <autoFilter ref="A2:B10" xr:uid="{70C7A477-61F8-42F8-B341-037C9883E415}"/>
  <tableColumns count="2">
    <tableColumn id="1" xr3:uid="{A522A714-EB9E-402A-A4EB-171D50AB733E}" name="NOMBRE" dataDxfId="20"/>
    <tableColumn id="2" xr3:uid="{ABBCAFCA-2589-4613-9A6E-BB9A98D9962A}" name="VALOR" dataDxfId="19">
      <calculatedColumnFormula>TODAY()-1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2A7BE9-29DA-4719-A926-70507860492B}" name="REPORTES" displayName="REPORTES" ref="A18:B19" insertRow="1" totalsRowShown="0" headerRowDxfId="18" dataDxfId="16" headerRowBorderDxfId="17" tableBorderDxfId="15" totalsRowBorderDxfId="14">
  <autoFilter ref="A18:B19" xr:uid="{5A2A7BE9-29DA-4719-A926-70507860492B}"/>
  <tableColumns count="2">
    <tableColumn id="1" xr3:uid="{CA0D3754-3C6E-44FB-80F1-112F3781BDA4}" name="NOMBRE" dataDxfId="13"/>
    <tableColumn id="4" xr3:uid="{639A61C6-75B2-4802-A328-9D01D33203B1}" name="ARCHIVO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AEAD3-9884-4874-85F8-52771F9A3C41}" name="ARCHIVOS" displayName="ARCHIVOS" ref="A15:B16" insertRow="1" totalsRowShown="0" headerRowDxfId="11" dataDxfId="9" headerRowBorderDxfId="10" tableBorderDxfId="8" totalsRowBorderDxfId="7">
  <autoFilter ref="A15:B16" xr:uid="{AA1AEAD3-9884-4874-85F8-52771F9A3C41}"/>
  <tableColumns count="2">
    <tableColumn id="1" xr3:uid="{57F37BE1-5C8D-42A2-AED3-C12F23E6E3FA}" name="NOMBRE" dataDxfId="6"/>
    <tableColumn id="2" xr3:uid="{5CBE7941-70F1-4EA5-BA2A-E9B8058D8937}" name="CORREO" dataDxfId="5">
      <calculatedColumnFormula>A13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0131C1-C97F-40F8-A264-47F4139FD7B6}" name="CORREOS" displayName="CORREOS" ref="A12:C13" insertRow="1" totalsRowShown="0" headerRowDxfId="4" dataDxfId="3">
  <autoFilter ref="A12:C13" xr:uid="{C30131C1-C97F-40F8-A264-47F4139FD7B6}"/>
  <tableColumns count="3">
    <tableColumn id="1" xr3:uid="{0BD62D0E-B4C9-4C86-B8D5-C051103EDA0C}" name="NOMBRE" dataDxfId="2"/>
    <tableColumn id="2" xr3:uid="{5951F8E9-9BBC-4ADC-B1B2-F80F973A4D96}" name="CONVERSACION" dataDxfId="1"/>
    <tableColumn id="3" xr3:uid="{77125737-BFBC-4BBB-9F6E-A8274AFC5D52}" name="UN ARCHIVO POR RANGO?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ROS"/>
  <dimension ref="A1:D19"/>
  <sheetViews>
    <sheetView tabSelected="1" zoomScaleNormal="100" workbookViewId="0">
      <selection activeCell="C14" sqref="C14"/>
    </sheetView>
  </sheetViews>
  <sheetFormatPr defaultColWidth="9.140625" defaultRowHeight="21" x14ac:dyDescent="0.25"/>
  <cols>
    <col min="1" max="1" width="55.85546875" style="3" bestFit="1" customWidth="1"/>
    <col min="2" max="2" width="127.28515625" style="3" bestFit="1" customWidth="1"/>
    <col min="3" max="3" width="40.140625" style="3" bestFit="1" customWidth="1"/>
    <col min="4" max="4" width="28.140625" style="3" bestFit="1" customWidth="1"/>
    <col min="5" max="16384" width="9.140625" style="3"/>
  </cols>
  <sheetData>
    <row r="1" spans="1:4" ht="53.25" x14ac:dyDescent="0.25">
      <c r="A1" s="15" t="s">
        <v>11</v>
      </c>
      <c r="B1" s="15"/>
    </row>
    <row r="2" spans="1:4" x14ac:dyDescent="0.25">
      <c r="A2" s="1" t="s">
        <v>2</v>
      </c>
      <c r="B2" s="2" t="s">
        <v>3</v>
      </c>
    </row>
    <row r="3" spans="1:4" x14ac:dyDescent="0.25">
      <c r="A3" s="4" t="s">
        <v>0</v>
      </c>
      <c r="B3" s="12">
        <f ca="1">TODAY()-IF(TEXT(TODAY(),"dddd")="Monday", 3,1)</f>
        <v>46008</v>
      </c>
      <c r="D3" s="10"/>
    </row>
    <row r="4" spans="1:4" x14ac:dyDescent="0.25">
      <c r="A4" s="5" t="s">
        <v>1</v>
      </c>
      <c r="B4" s="12">
        <f ca="1">TODAY() - 1</f>
        <v>46008</v>
      </c>
      <c r="D4" s="10"/>
    </row>
    <row r="5" spans="1:4" x14ac:dyDescent="0.25">
      <c r="A5" s="5" t="s">
        <v>8</v>
      </c>
      <c r="B5" s="11"/>
    </row>
    <row r="6" spans="1:4" x14ac:dyDescent="0.25">
      <c r="A6" s="5" t="s">
        <v>16</v>
      </c>
      <c r="B6" s="11"/>
    </row>
    <row r="7" spans="1:4" x14ac:dyDescent="0.25">
      <c r="A7" s="4" t="s">
        <v>17</v>
      </c>
      <c r="B7" s="11"/>
    </row>
    <row r="8" spans="1:4" x14ac:dyDescent="0.25">
      <c r="A8" s="5" t="s">
        <v>12</v>
      </c>
      <c r="B8" s="13"/>
    </row>
    <row r="9" spans="1:4" x14ac:dyDescent="0.25">
      <c r="A9" s="5" t="s">
        <v>14</v>
      </c>
      <c r="B9" s="13"/>
    </row>
    <row r="10" spans="1:4" x14ac:dyDescent="0.25">
      <c r="A10" s="5" t="s">
        <v>15</v>
      </c>
      <c r="B10" s="11"/>
    </row>
    <row r="11" spans="1:4" ht="53.25" x14ac:dyDescent="0.25">
      <c r="A11" s="15" t="s">
        <v>7</v>
      </c>
      <c r="B11" s="15"/>
      <c r="C11" s="15"/>
    </row>
    <row r="12" spans="1:4" x14ac:dyDescent="0.25">
      <c r="A12" s="7" t="s">
        <v>2</v>
      </c>
      <c r="B12" s="8" t="s">
        <v>9</v>
      </c>
      <c r="C12" s="9" t="s">
        <v>13</v>
      </c>
    </row>
    <row r="13" spans="1:4" x14ac:dyDescent="0.25">
      <c r="A13" s="8"/>
      <c r="B13" s="8"/>
      <c r="C13" s="11"/>
    </row>
    <row r="14" spans="1:4" ht="53.25" x14ac:dyDescent="0.25">
      <c r="A14" s="15" t="s">
        <v>6</v>
      </c>
      <c r="B14" s="16"/>
    </row>
    <row r="15" spans="1:4" x14ac:dyDescent="0.25">
      <c r="A15" s="1" t="s">
        <v>2</v>
      </c>
      <c r="B15" s="7" t="s">
        <v>5</v>
      </c>
    </row>
    <row r="16" spans="1:4" x14ac:dyDescent="0.25">
      <c r="A16" s="6"/>
      <c r="B16" s="8"/>
    </row>
    <row r="17" spans="1:2" ht="53.25" x14ac:dyDescent="0.25">
      <c r="A17" s="14" t="s">
        <v>10</v>
      </c>
      <c r="B17" s="14"/>
    </row>
    <row r="18" spans="1:2" x14ac:dyDescent="0.25">
      <c r="A18" s="1" t="s">
        <v>2</v>
      </c>
      <c r="B18" s="1" t="s">
        <v>4</v>
      </c>
    </row>
    <row r="19" spans="1:2" x14ac:dyDescent="0.25">
      <c r="A19" s="6"/>
      <c r="B19" s="8"/>
    </row>
  </sheetData>
  <mergeCells count="4">
    <mergeCell ref="A17:B17"/>
    <mergeCell ref="A1:B1"/>
    <mergeCell ref="A11:C11"/>
    <mergeCell ref="A14:B14"/>
  </mergeCells>
  <dataValidations count="5">
    <dataValidation type="list" allowBlank="1" showInputMessage="1" showErrorMessage="1" sqref="B10 C13" xr:uid="{0ABBB0D5-A75F-409F-A563-79FD8CBD78A9}">
      <formula1>"SI,NO"</formula1>
    </dataValidation>
    <dataValidation type="list" allowBlank="1" showInputMessage="1" showErrorMessage="1" sqref="A8" xr:uid="{5B9D89B2-33B0-4AB9-A7B8-FB57596068ED}">
      <formula1>"Todos,START_PROCESS_DATE,END_PROCESS_DATE,CURRENT_PROCESS_DATE,Directorio base reportes,Ruta archivo de errores,Folder de Outlook,Enviar correo?,Reporte a generar"</formula1>
    </dataValidation>
    <dataValidation type="list" allowBlank="1" showInputMessage="1" showErrorMessage="1" sqref="B19" xr:uid="{FF4192F1-9368-4CD9-8A92-720D4B2DA0FE}">
      <formula1>INDIRECT("ARCHIVOS[NOMBRE]")</formula1>
    </dataValidation>
    <dataValidation type="list" allowBlank="1" showInputMessage="1" showErrorMessage="1" sqref="B16" xr:uid="{06214927-429F-452C-9FD8-EF30EA6160E0}">
      <formula1>INDIRECT("CORREOS[NOMBRE]")</formula1>
    </dataValidation>
    <dataValidation type="list" allowBlank="1" showInputMessage="1" showErrorMessage="1" sqref="B8" xr:uid="{2EFBB879-F6F1-4210-9EAD-946C0C72AC59}">
      <formula1>"Todos,"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RefreshAll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WithAttempt">
              <controlPr defaultSize="0" print="0" autoFill="0" autoPict="0" macro="[0]!SendAllDraftsWithAttempt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tnRefreshAll">
              <controlPr defaultSize="0" print="0" autoFill="0" autoPict="0" macro="[0]!Manual_ScheduleMailSending">
                <anchor moveWithCells="1" sizeWithCells="1">
                  <from>
                    <xdr:col>2</xdr:col>
                    <xdr:colOff>571500</xdr:colOff>
                    <xdr:row>0</xdr:row>
                    <xdr:rowOff>390525</xdr:rowOff>
                  </from>
                  <to>
                    <xdr:col>2</xdr:col>
                    <xdr:colOff>2419350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tnCreateMailFiles">
              <controlPr defaultSize="0" print="0" autoFill="0" autoPict="0" macro="[0]!Manual_CreateMailFiles">
                <anchor moveWithCells="1" sizeWithCells="1">
                  <from>
                    <xdr:col>2</xdr:col>
                    <xdr:colOff>581025</xdr:colOff>
                    <xdr:row>1</xdr:row>
                    <xdr:rowOff>247650</xdr:rowOff>
                  </from>
                  <to>
                    <xdr:col>2</xdr:col>
                    <xdr:colOff>2428875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tnCreateDrafts">
              <controlPr defaultSize="0" print="0" autoFill="0" autoPict="0" macro="[0]!Manual_CreateDrafts">
                <anchor moveWithCells="1" sizeWithCells="1">
                  <from>
                    <xdr:col>2</xdr:col>
                    <xdr:colOff>581025</xdr:colOff>
                    <xdr:row>4</xdr:row>
                    <xdr:rowOff>66675</xdr:rowOff>
                  </from>
                  <to>
                    <xdr:col>2</xdr:col>
                    <xdr:colOff>2428875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tnSendAllDraftsWithAttempt">
              <controlPr defaultSize="0" print="0" autoFill="0" autoPict="0" macro="[0]!Manual_SendAllDrafts">
                <anchor moveWithCells="1" sizeWithCells="1">
                  <from>
                    <xdr:col>2</xdr:col>
                    <xdr:colOff>581025</xdr:colOff>
                    <xdr:row>6</xdr:row>
                    <xdr:rowOff>209550</xdr:rowOff>
                  </from>
                  <to>
                    <xdr:col>2</xdr:col>
                    <xdr:colOff>2428875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tnScheduleMailSending">
              <controlPr defaultSize="0" print="0" autoFill="0" autoPict="0" macro="[0]!Manual_ScheduleMailSending">
                <anchor moveWithCells="1" sizeWithCells="1">
                  <from>
                    <xdr:col>3</xdr:col>
                    <xdr:colOff>581025</xdr:colOff>
                    <xdr:row>3</xdr:row>
                    <xdr:rowOff>209550</xdr:rowOff>
                  </from>
                  <to>
                    <xdr:col>4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14"/>
    <tablePart r:id="rId15"/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Vladimir Francisco</cp:lastModifiedBy>
  <dcterms:created xsi:type="dcterms:W3CDTF">2025-11-17T12:30:29Z</dcterms:created>
  <dcterms:modified xsi:type="dcterms:W3CDTF">2025-12-18T12:03:50Z</dcterms:modified>
</cp:coreProperties>
</file>